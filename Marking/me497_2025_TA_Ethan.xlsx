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di\Documents\Uni\Grad School\ME854\Marking\"/>
    </mc:Choice>
  </mc:AlternateContent>
  <xr:revisionPtr revIDLastSave="0" documentId="13_ncr:1_{517C37C6-4D18-45D5-8527-5336D2EA6044}" xr6:coauthVersionLast="47" xr6:coauthVersionMax="47" xr10:uidLastSave="{00000000-0000-0000-0000-000000000000}"/>
  <bookViews>
    <workbookView xWindow="-120" yWindow="-120" windowWidth="29040" windowHeight="15720" xr2:uid="{526FCE15-BB9C-4FE0-BA16-1C2CB5DA5A83}"/>
  </bookViews>
  <sheets>
    <sheet name="TA_Etha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Y18" i="4"/>
  <c r="X18" i="4"/>
  <c r="W18" i="4"/>
  <c r="V18" i="4"/>
  <c r="U18" i="4"/>
  <c r="F18" i="4"/>
  <c r="E18" i="4"/>
  <c r="Y17" i="4"/>
  <c r="X17" i="4"/>
  <c r="W17" i="4"/>
  <c r="V17" i="4"/>
  <c r="U17" i="4"/>
  <c r="F17" i="4"/>
  <c r="E17" i="4"/>
  <c r="Y15" i="4"/>
  <c r="X15" i="4"/>
  <c r="W15" i="4"/>
  <c r="V15" i="4"/>
  <c r="U15" i="4"/>
  <c r="F15" i="4"/>
  <c r="Z6" i="4"/>
  <c r="Z18" i="4" s="1"/>
  <c r="Z3" i="4"/>
  <c r="Z15" i="4" l="1"/>
  <c r="Z17" i="4"/>
</calcChain>
</file>

<file path=xl/sharedStrings.xml><?xml version="1.0" encoding="utf-8"?>
<sst xmlns="http://schemas.openxmlformats.org/spreadsheetml/2006/main" count="32" uniqueCount="28">
  <si>
    <t>No.</t>
  </si>
  <si>
    <t>NSID</t>
  </si>
  <si>
    <t>Student Name</t>
  </si>
  <si>
    <t>Student No.</t>
  </si>
  <si>
    <t>jrb427</t>
  </si>
  <si>
    <t>Bourassa, Jacob R.</t>
  </si>
  <si>
    <t>riq380</t>
  </si>
  <si>
    <t>Chu, Michael</t>
  </si>
  <si>
    <t>glw087</t>
  </si>
  <si>
    <t>Hastings, Thomas B.</t>
  </si>
  <si>
    <t>jcl196</t>
  </si>
  <si>
    <t>Laviste, Allen C.</t>
  </si>
  <si>
    <t>ypd821</t>
  </si>
  <si>
    <t>Simonson, Kenton</t>
  </si>
  <si>
    <t>Predinchuk, Ethan D.</t>
  </si>
  <si>
    <t>edp725</t>
  </si>
  <si>
    <t>L-Vib-20</t>
  </si>
  <si>
    <t>L-Aco-10</t>
  </si>
  <si>
    <t>Proj-10-TA</t>
  </si>
  <si>
    <t>A1</t>
  </si>
  <si>
    <t>A2</t>
  </si>
  <si>
    <t>A3</t>
  </si>
  <si>
    <t>A4</t>
  </si>
  <si>
    <t>A5</t>
  </si>
  <si>
    <t>A-30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</si>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</sst>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0" xfId="0" applyFont="1"/>
    <xf numFmtId="1" fontId="18" fillId="0" borderId="0" xfId="0" applyNumberFormat="1" applyFont="1"/>
    <xf numFmtId="0" fontId="20" fillId="0" borderId="0" xfId="0" applyFont="1"/>
    <xf numFmtId="0" fontId="19" fillId="0" borderId="10" xfId="0" applyFont="1" applyBorder="1"/>
    <xf numFmtId="0" fontId="19" fillId="0" borderId="12" xfId="0" applyFont="1" applyBorder="1"/>
    <xf numFmtId="0" fontId="21" fillId="0" borderId="10" xfId="0" applyFont="1" applyBorder="1"/>
    <xf numFmtId="0" fontId="21" fillId="0" borderId="0" xfId="0" applyFont="1"/>
    <xf numFmtId="0" fontId="23" fillId="0" borderId="12" xfId="0" applyFont="1" applyBorder="1"/>
    <xf numFmtId="0" fontId="24" fillId="0" borderId="10" xfId="0" applyFont="1" applyBorder="1"/>
    <xf numFmtId="0" fontId="25" fillId="0" borderId="10" xfId="0" applyFont="1" applyBorder="1"/>
    <xf numFmtId="0" fontId="24" fillId="0" borderId="0" xfId="0" applyFont="1"/>
    <xf numFmtId="0" fontId="22" fillId="0" borderId="12" xfId="0" applyFont="1" applyBorder="1"/>
    <xf numFmtId="164" fontId="24" fillId="0" borderId="13" xfId="0" applyNumberFormat="1" applyFont="1" applyBorder="1"/>
    <xf numFmtId="9" fontId="24" fillId="0" borderId="13" xfId="42" applyFont="1" applyBorder="1"/>
    <xf numFmtId="164" fontId="24" fillId="0" borderId="14" xfId="0" applyNumberFormat="1" applyFont="1" applyBorder="1"/>
    <xf numFmtId="0" fontId="19" fillId="0" borderId="11" xfId="0" applyFont="1" applyBorder="1"/>
    <xf numFmtId="0" fontId="22" fillId="0" borderId="11" xfId="0" applyFont="1" applyBorder="1"/>
    <xf numFmtId="9" fontId="24" fillId="0" borderId="13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11FF-1CD4-4A15-9608-1DA4745EFE4C}">
  <dimension ref="A3:Z18"/>
  <sheetViews>
    <sheetView tabSelected="1" zoomScale="70" zoomScaleNormal="70" workbookViewId="0">
      <selection activeCell="E13" sqref="E13"/>
    </sheetView>
  </sheetViews>
  <sheetFormatPr defaultRowHeight="15" x14ac:dyDescent="0.25"/>
  <cols>
    <col min="2" max="2" width="10.5703125" bestFit="1" customWidth="1"/>
    <col min="3" max="3" width="27.5703125" bestFit="1" customWidth="1"/>
    <col min="4" max="4" width="16.140625" customWidth="1"/>
    <col min="5" max="5" width="11.85546875" bestFit="1" customWidth="1"/>
    <col min="6" max="6" width="12.7109375" bestFit="1" customWidth="1"/>
    <col min="7" max="7" width="14.5703125" bestFit="1" customWidth="1"/>
  </cols>
  <sheetData>
    <row r="3" spans="1:26" ht="21" x14ac:dyDescent="0.35">
      <c r="A3" s="4"/>
      <c r="B3" s="4"/>
      <c r="C3" s="4"/>
      <c r="D3" s="4"/>
      <c r="E3" s="1">
        <v>20</v>
      </c>
      <c r="F3" s="1">
        <v>10</v>
      </c>
      <c r="G3" s="1">
        <v>10</v>
      </c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30</v>
      </c>
      <c r="V3" s="1">
        <v>30</v>
      </c>
      <c r="W3" s="1">
        <v>30</v>
      </c>
      <c r="X3" s="1">
        <v>30</v>
      </c>
      <c r="Y3" s="1">
        <v>30</v>
      </c>
      <c r="Z3" s="6">
        <f>AVERAGE(LARGE(U3:Y3,1),LARGE(U3:Y3,2),LARGE(U3:Y3,3),LARGE(U3:Y3,4))</f>
        <v>30</v>
      </c>
    </row>
    <row r="4" spans="1:26" ht="21" x14ac:dyDescent="0.35">
      <c r="A4" s="4" t="s">
        <v>0</v>
      </c>
      <c r="B4" s="4" t="s">
        <v>1</v>
      </c>
      <c r="C4" s="4" t="s">
        <v>2</v>
      </c>
      <c r="D4" s="4" t="s">
        <v>3</v>
      </c>
      <c r="E4" s="1" t="s">
        <v>16</v>
      </c>
      <c r="F4" s="1" t="s">
        <v>17</v>
      </c>
      <c r="G4" s="1" t="s">
        <v>18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6" t="s">
        <v>24</v>
      </c>
    </row>
    <row r="5" spans="1:26" ht="21" x14ac:dyDescent="0.35">
      <c r="A5" s="4"/>
      <c r="B5" s="4"/>
      <c r="C5" s="4"/>
      <c r="D5" s="4"/>
      <c r="E5" s="4"/>
      <c r="F5" s="4"/>
      <c r="G5" s="4"/>
    </row>
    <row r="6" spans="1:26" ht="21" x14ac:dyDescent="0.35">
      <c r="A6" s="7" t="s">
        <v>0</v>
      </c>
      <c r="B6" s="7" t="s">
        <v>1</v>
      </c>
      <c r="C6" s="7" t="s">
        <v>2</v>
      </c>
      <c r="D6" s="7" t="s">
        <v>3</v>
      </c>
      <c r="E6" s="7"/>
      <c r="F6" s="19"/>
      <c r="G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9">
        <v>3</v>
      </c>
      <c r="V6" s="9">
        <v>10</v>
      </c>
      <c r="W6" s="9">
        <v>3</v>
      </c>
      <c r="X6" s="9">
        <v>10</v>
      </c>
      <c r="Y6" s="9">
        <v>3</v>
      </c>
      <c r="Z6" s="9">
        <f>AVERAGE(LARGE(U6:Y6,1),LARGE(U6:Y6,2),LARGE(U6:Y6,3),LARGE(U6:Y6,4))</f>
        <v>6.5</v>
      </c>
    </row>
    <row r="7" spans="1:26" ht="21" x14ac:dyDescent="0.35">
      <c r="A7" s="2">
        <v>1</v>
      </c>
      <c r="B7" s="2" t="s">
        <v>4</v>
      </c>
      <c r="C7" s="2" t="s">
        <v>5</v>
      </c>
      <c r="D7" s="2">
        <v>11301099</v>
      </c>
      <c r="E7" s="7">
        <v>16.5</v>
      </c>
      <c r="F7" s="20"/>
      <c r="G7" s="11"/>
      <c r="I7" s="12"/>
      <c r="J7" s="9"/>
      <c r="K7" s="13"/>
      <c r="L7" s="12"/>
      <c r="M7" s="9"/>
      <c r="N7" s="13"/>
      <c r="O7" s="12"/>
      <c r="P7" s="9"/>
      <c r="Q7" s="13"/>
      <c r="R7" s="12"/>
      <c r="S7" s="9"/>
      <c r="T7" s="14"/>
      <c r="U7" s="12">
        <v>16</v>
      </c>
      <c r="V7" s="9"/>
      <c r="W7" s="13"/>
      <c r="X7" s="12"/>
      <c r="Y7" s="9"/>
      <c r="Z7" s="13"/>
    </row>
    <row r="8" spans="1:26" ht="21" x14ac:dyDescent="0.35">
      <c r="A8" s="2">
        <v>2</v>
      </c>
      <c r="B8" s="2" t="s">
        <v>6</v>
      </c>
      <c r="C8" s="2" t="s">
        <v>7</v>
      </c>
      <c r="D8" s="2">
        <v>11309172</v>
      </c>
      <c r="E8" s="7">
        <v>14</v>
      </c>
      <c r="F8" s="19"/>
      <c r="G8" s="8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4"/>
      <c r="U8" s="12">
        <v>18</v>
      </c>
      <c r="V8" s="12"/>
      <c r="W8" s="12"/>
      <c r="X8" s="12"/>
      <c r="Y8" s="12"/>
      <c r="Z8" s="12"/>
    </row>
    <row r="9" spans="1:26" ht="21" x14ac:dyDescent="0.35">
      <c r="A9" s="2">
        <v>3</v>
      </c>
      <c r="B9" s="2" t="s">
        <v>8</v>
      </c>
      <c r="C9" s="2" t="s">
        <v>9</v>
      </c>
      <c r="D9" s="2">
        <v>11355683</v>
      </c>
      <c r="E9" s="7">
        <v>14</v>
      </c>
      <c r="F9" s="19"/>
      <c r="G9" s="8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4"/>
      <c r="U9" s="12">
        <v>24</v>
      </c>
      <c r="V9" s="12"/>
      <c r="W9" s="12"/>
      <c r="X9" s="12"/>
      <c r="Y9" s="12"/>
      <c r="Z9" s="12"/>
    </row>
    <row r="10" spans="1:26" ht="21" x14ac:dyDescent="0.35">
      <c r="A10" s="2">
        <v>4</v>
      </c>
      <c r="B10" s="2" t="s">
        <v>10</v>
      </c>
      <c r="C10" s="2" t="s">
        <v>11</v>
      </c>
      <c r="D10" s="2">
        <v>11265387</v>
      </c>
      <c r="E10" s="7">
        <v>14</v>
      </c>
      <c r="F10" s="19"/>
      <c r="G10" s="8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4"/>
      <c r="U10" s="12">
        <v>23</v>
      </c>
      <c r="V10" s="12"/>
      <c r="W10" s="12"/>
      <c r="X10" s="12"/>
      <c r="Y10" s="12"/>
      <c r="Z10" s="12"/>
    </row>
    <row r="11" spans="1:26" ht="21" x14ac:dyDescent="0.35">
      <c r="A11" s="2">
        <v>5</v>
      </c>
      <c r="B11" s="2" t="s">
        <v>12</v>
      </c>
      <c r="C11" s="2" t="s">
        <v>13</v>
      </c>
      <c r="D11" s="2">
        <v>11333644</v>
      </c>
      <c r="E11" s="7">
        <v>16.5</v>
      </c>
      <c r="F11" s="20"/>
      <c r="G11" s="15"/>
      <c r="I11" s="12"/>
      <c r="J11" s="9"/>
      <c r="K11" s="9"/>
      <c r="L11" s="12"/>
      <c r="M11" s="9"/>
      <c r="N11" s="9"/>
      <c r="O11" s="12"/>
      <c r="P11" s="9"/>
      <c r="Q11" s="9"/>
      <c r="R11" s="12"/>
      <c r="S11" s="9"/>
      <c r="T11" s="14"/>
      <c r="U11" s="12">
        <v>28</v>
      </c>
      <c r="V11" s="9"/>
      <c r="W11" s="9"/>
      <c r="X11" s="12"/>
      <c r="Y11" s="9"/>
      <c r="Z11" s="9"/>
    </row>
    <row r="12" spans="1:26" ht="21" x14ac:dyDescent="0.35">
      <c r="A12" s="2">
        <v>6</v>
      </c>
      <c r="B12" s="3" t="s">
        <v>15</v>
      </c>
      <c r="C12" s="3" t="s">
        <v>14</v>
      </c>
      <c r="D12" s="3">
        <v>11301011</v>
      </c>
      <c r="E12" s="7">
        <v>17</v>
      </c>
      <c r="F12" s="20"/>
      <c r="G12" s="15"/>
      <c r="I12" s="12"/>
      <c r="J12" s="9"/>
      <c r="K12" s="9"/>
      <c r="L12" s="12"/>
      <c r="M12" s="9"/>
      <c r="N12" s="9"/>
      <c r="O12" s="12"/>
      <c r="P12" s="9"/>
      <c r="Q12" s="9"/>
      <c r="R12" s="12"/>
      <c r="S12" s="9"/>
      <c r="T12" s="14"/>
      <c r="U12" s="12">
        <v>27</v>
      </c>
      <c r="V12" s="9"/>
      <c r="W12" s="9"/>
      <c r="X12" s="12"/>
      <c r="Y12" s="9"/>
      <c r="Z12" s="9"/>
    </row>
    <row r="13" spans="1:26" ht="21" x14ac:dyDescent="0.35">
      <c r="A13" s="4"/>
      <c r="B13" s="4"/>
      <c r="C13" s="4"/>
      <c r="D13" s="4"/>
      <c r="E13" s="4"/>
      <c r="F13" s="4"/>
      <c r="G13" s="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5" spans="1:26" ht="21" x14ac:dyDescent="0.35">
      <c r="C15" s="4" t="s">
        <v>25</v>
      </c>
      <c r="E15" s="16">
        <f>AVERAGE(E6:E13)</f>
        <v>15.333333333333334</v>
      </c>
      <c r="F15" s="16" t="e">
        <f>AVERAGE(F6:F13)</f>
        <v>#DIV/0!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f t="shared" ref="U15:Z15" si="0">AVERAGE(U6:U13)</f>
        <v>19.857142857142858</v>
      </c>
      <c r="V15" s="16">
        <f t="shared" si="0"/>
        <v>10</v>
      </c>
      <c r="W15" s="16">
        <f t="shared" si="0"/>
        <v>3</v>
      </c>
      <c r="X15" s="16">
        <f t="shared" si="0"/>
        <v>10</v>
      </c>
      <c r="Y15" s="16">
        <f t="shared" si="0"/>
        <v>3</v>
      </c>
      <c r="Z15" s="16">
        <f t="shared" si="0"/>
        <v>6.5</v>
      </c>
    </row>
    <row r="16" spans="1:26" ht="18.75" x14ac:dyDescent="0.3">
      <c r="E16" s="17"/>
      <c r="F16" s="21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3:26" ht="21" x14ac:dyDescent="0.35">
      <c r="C17" s="4" t="s">
        <v>26</v>
      </c>
      <c r="E17" s="16">
        <f>MIN(E6:E13)</f>
        <v>14</v>
      </c>
      <c r="F17" s="16">
        <f>MIN(F6:F13)</f>
        <v>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f t="shared" ref="U17:Z17" si="1">MIN(U6:U13)</f>
        <v>3</v>
      </c>
      <c r="V17" s="16">
        <f t="shared" si="1"/>
        <v>10</v>
      </c>
      <c r="W17" s="16">
        <f t="shared" si="1"/>
        <v>3</v>
      </c>
      <c r="X17" s="16">
        <f t="shared" si="1"/>
        <v>10</v>
      </c>
      <c r="Y17" s="16">
        <f t="shared" si="1"/>
        <v>3</v>
      </c>
      <c r="Z17" s="16">
        <f t="shared" si="1"/>
        <v>6.5</v>
      </c>
    </row>
    <row r="18" spans="3:26" ht="21.75" thickBot="1" x14ac:dyDescent="0.4">
      <c r="C18" s="4" t="s">
        <v>27</v>
      </c>
      <c r="E18" s="18">
        <f>MAX(E6:E13)</f>
        <v>17</v>
      </c>
      <c r="F18" s="18">
        <f>MAX(F6:F13)</f>
        <v>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>
        <f t="shared" ref="U18:Z18" si="2">MAX(U6:U13)</f>
        <v>28</v>
      </c>
      <c r="V18" s="18">
        <f t="shared" si="2"/>
        <v>10</v>
      </c>
      <c r="W18" s="18">
        <f t="shared" si="2"/>
        <v>3</v>
      </c>
      <c r="X18" s="18">
        <f t="shared" si="2"/>
        <v>10</v>
      </c>
      <c r="Y18" s="18">
        <f t="shared" si="2"/>
        <v>3</v>
      </c>
      <c r="Z18" s="18">
        <f t="shared" si="2"/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TA_Ethan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Karki</dc:creator>
  <cp:lastModifiedBy>ethandjp@student.ubc.ca</cp:lastModifiedBy>
  <cp:lastPrinted>2025-09-03T18:20:32Z</cp:lastPrinted>
  <dcterms:created xsi:type="dcterms:W3CDTF">2025-09-03T18:20:52Z</dcterms:created>
  <dcterms:modified xsi:type="dcterms:W3CDTF">2025-11-25T18:25:07Z</dcterms:modified>
</cp:coreProperties>
</file>